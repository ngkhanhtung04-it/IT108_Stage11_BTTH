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euMuon" sheetId="1" state="visible" r:id="rId1"/>
    <sheet xmlns:r="http://schemas.openxmlformats.org/officeDocument/2006/relationships" name="DanhMucSach" sheetId="2" state="visible" r:id="rId2"/>
  </sheets>
  <definedNames>
    <definedName name="_xlnm._FilterDatabase" localSheetId="0" hidden="1">'PhieuMuon'!$A$1:$F$5</definedName>
    <definedName name="_xlnm._FilterDatabase" localSheetId="1" hidden="1">'DanhMucSach'!$A$1:$C$4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F1" authorId="0" shapeId="0">
      <text>
        <t>Công thức ví dụ ở F2: =IFERROR(VLOOKUP(C2,DanhMucSach!$A$2:$B$4,2,FALSE),"Không tìm thấy sách"). Bảng tra cứu được cố định bằng $.</t>
      </text>
    </comment>
  </commentList>
</comments>
</file>

<file path=xl/tables/table1.xml><?xml version="1.0" encoding="utf-8"?>
<table xmlns="http://schemas.openxmlformats.org/spreadsheetml/2006/main" id="1" name="BangPhieuMuon" displayName="BangPhieuMuon" ref="A1:F5" headerRowCount="1">
  <autoFilter ref="A1:F5"/>
  <tableColumns count="6">
    <tableColumn id="1" name="MSSV"/>
    <tableColumn id="2" name="Họ Tên"/>
    <tableColumn id="3" name="Mã Sách"/>
    <tableColumn id="4" name="Ngày Mượn"/>
    <tableColumn id="5" name="Tình Trạng"/>
    <tableColumn id="6" name="Tên Sác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ngDanhMucSach" displayName="BangDanhMucSach" ref="A1:C4" headerRowCount="1">
  <autoFilter ref="A1:C4"/>
  <tableColumns count="3">
    <tableColumn id="1" name="Mã Sách"/>
    <tableColumn id="2" name="Tên Sách"/>
    <tableColumn id="3" name="Thể Loại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6" customWidth="1" min="4" max="4"/>
    <col width="18" customWidth="1" min="5" max="5"/>
    <col width="30" customWidth="1" min="6" max="6"/>
  </cols>
  <sheetData>
    <row r="1">
      <c r="A1" s="1" t="inlineStr">
        <is>
          <t>MSSV</t>
        </is>
      </c>
      <c r="B1" s="1" t="inlineStr">
        <is>
          <t>Họ Tên</t>
        </is>
      </c>
      <c r="C1" s="1" t="inlineStr">
        <is>
          <t>Mã Sách</t>
        </is>
      </c>
      <c r="D1" s="1" t="inlineStr">
        <is>
          <t>Ngày Mượn</t>
        </is>
      </c>
      <c r="E1" s="1" t="inlineStr">
        <is>
          <t>Tình Trạng</t>
        </is>
      </c>
      <c r="F1" s="1" t="inlineStr">
        <is>
          <t>Tên Sách</t>
        </is>
      </c>
    </row>
    <row r="2">
      <c r="A2" s="2" t="inlineStr">
        <is>
          <t>SV001</t>
        </is>
      </c>
      <c r="B2" s="2" t="inlineStr">
        <is>
          <t>Nguyễn Văn An</t>
        </is>
      </c>
      <c r="C2" s="2" t="inlineStr">
        <is>
          <t>S001</t>
        </is>
      </c>
      <c r="D2" s="3" t="inlineStr">
        <is>
          <t>01/10/2026</t>
        </is>
      </c>
      <c r="E2" s="2" t="inlineStr">
        <is>
          <t>Đang mượn</t>
        </is>
      </c>
      <c r="F2" s="2">
        <f>IFERROR(VLOOKUP(C2,DanhMucSach!$A$2:$B$4,2,FALSE),"Không tìm thấy sách")</f>
        <v/>
      </c>
    </row>
    <row r="3">
      <c r="A3" s="2" t="inlineStr">
        <is>
          <t>SV002</t>
        </is>
      </c>
      <c r="B3" s="2" t="inlineStr">
        <is>
          <t>Trần Thị Bình</t>
        </is>
      </c>
      <c r="C3" s="2" t="inlineStr">
        <is>
          <t>S002</t>
        </is>
      </c>
      <c r="D3" s="3" t="inlineStr">
        <is>
          <t>03/10/2026</t>
        </is>
      </c>
      <c r="E3" s="2" t="inlineStr">
        <is>
          <t>Quá hạn</t>
        </is>
      </c>
      <c r="F3" s="2">
        <f>IFERROR(VLOOKUP(C3,DanhMucSach!$A$2:$B$4,2,FALSE),"Không tìm thấy sách")</f>
        <v/>
      </c>
    </row>
    <row r="4">
      <c r="A4" s="2" t="inlineStr">
        <is>
          <t>SV003</t>
        </is>
      </c>
      <c r="B4" s="2" t="inlineStr">
        <is>
          <t>Lê Văn Cường</t>
        </is>
      </c>
      <c r="C4" s="2" t="inlineStr">
        <is>
          <t>S003</t>
        </is>
      </c>
      <c r="D4" s="3" t="inlineStr">
        <is>
          <t>10/10/2026</t>
        </is>
      </c>
      <c r="E4" s="2" t="inlineStr">
        <is>
          <t>Đã trả</t>
        </is>
      </c>
      <c r="F4" s="2">
        <f>IFERROR(VLOOKUP(C4,DanhMucSach!$A$2:$B$4,2,FALSE),"Không tìm thấy sách")</f>
        <v/>
      </c>
    </row>
    <row r="5">
      <c r="A5" s="2" t="inlineStr">
        <is>
          <t>SV004</t>
        </is>
      </c>
      <c r="B5" s="2" t="inlineStr">
        <is>
          <t>Phạm Thu Hà</t>
        </is>
      </c>
      <c r="C5" s="2" t="inlineStr">
        <is>
          <t>S099</t>
        </is>
      </c>
      <c r="D5" s="3" t="inlineStr">
        <is>
          <t>12/10/2026</t>
        </is>
      </c>
      <c r="E5" s="2" t="inlineStr">
        <is>
          <t>Đang mượn</t>
        </is>
      </c>
      <c r="F5" s="2">
        <f>IFERROR(VLOOKUP(C5,DanhMucSach!$A$2:$B$4,2,FALSE),"Không tìm thấy sách")</f>
        <v/>
      </c>
    </row>
    <row r="7">
      <c r="A7" s="4" t="inlineStr">
        <is>
          <t>Tổng cộng</t>
        </is>
      </c>
      <c r="B7" s="4" t="inlineStr">
        <is>
          <t>Số phiếu:</t>
        </is>
      </c>
      <c r="C7" s="4">
        <f>COUNTA(A2:A5)</f>
        <v/>
      </c>
    </row>
    <row r="9">
      <c r="A9" s="5" t="inlineStr">
        <is>
          <t>Cách lọc: dùng mũi tên tại cột Tình Trạng → chỉ chọn “Quá hạn”. Hoặc chọn vùng bảng và nhấn Ctrl+Shift+L.</t>
        </is>
      </c>
    </row>
  </sheetData>
  <autoFilter ref="A1:F5"/>
  <mergeCells count="1">
    <mergeCell ref="A9:F9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</cols>
  <sheetData>
    <row r="1">
      <c r="A1" s="6" t="inlineStr">
        <is>
          <t>Mã Sách</t>
        </is>
      </c>
      <c r="B1" s="6" t="inlineStr">
        <is>
          <t>Tên Sách</t>
        </is>
      </c>
      <c r="C1" s="6" t="inlineStr">
        <is>
          <t>Thể Loại</t>
        </is>
      </c>
    </row>
    <row r="2">
      <c r="A2" s="7" t="inlineStr">
        <is>
          <t>S001</t>
        </is>
      </c>
      <c r="B2" s="7" t="inlineStr">
        <is>
          <t>Lập Trình C Căn Bản</t>
        </is>
      </c>
      <c r="C2" s="7" t="inlineStr">
        <is>
          <t>Công nghệ thông tin</t>
        </is>
      </c>
    </row>
    <row r="3">
      <c r="A3" s="7" t="inlineStr">
        <is>
          <t>S002</t>
        </is>
      </c>
      <c r="B3" s="7" t="inlineStr">
        <is>
          <t>Giải Tích 1</t>
        </is>
      </c>
      <c r="C3" s="7" t="inlineStr">
        <is>
          <t>Toán học</t>
        </is>
      </c>
    </row>
    <row r="4">
      <c r="A4" s="7" t="inlineStr">
        <is>
          <t>S003</t>
        </is>
      </c>
      <c r="B4" s="7" t="inlineStr">
        <is>
          <t>Kỹ Năng Mềm</t>
        </is>
      </c>
      <c r="C4" s="7" t="inlineStr">
        <is>
          <t>Kỹ năng sống</t>
        </is>
      </c>
    </row>
  </sheetData>
  <autoFilter ref="A1:C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2026-10-19T14:18:12Z</dcterms:created>
  <dcterms:modified xmlns:dcterms="http://purl.org/dc/terms/" xmlns:xsi="http://www.w3.org/2001/XMLSchema-instance" xsi:type="dcterms:W3CDTF">2026-10-19T14:18:12Z</dcterms:modified>
</cp:coreProperties>
</file>